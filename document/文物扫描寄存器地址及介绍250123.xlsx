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<sst xmlns="http://schemas.openxmlformats.org/spreadsheetml/2006/main" count="192" uniqueCount="98">
  <si>
    <t>相对符号地址</t>
  </si>
  <si>
    <t>对应的绝对地址</t>
  </si>
  <si>
    <t>S0-S4095</t>
  </si>
  <si>
    <t>57344-61439</t>
  </si>
  <si>
    <t>D0-D7999</t>
  </si>
  <si>
    <t>0-7999</t>
  </si>
  <si>
    <t>Modbus-TCP 通讯信息</t>
  </si>
  <si>
    <t>通讯地址：192.168.1.88    端口：502</t>
  </si>
  <si>
    <t>序号</t>
  </si>
  <si>
    <t>分类</t>
  </si>
  <si>
    <t>名称</t>
  </si>
  <si>
    <t>符号标识</t>
  </si>
  <si>
    <t>符号地址</t>
  </si>
  <si>
    <t>绝对地址</t>
  </si>
  <si>
    <t>变量类型</t>
  </si>
  <si>
    <t>读写类型</t>
  </si>
  <si>
    <t>注释</t>
  </si>
  <si>
    <t>系统状态</t>
  </si>
  <si>
    <t>Manual</t>
  </si>
  <si>
    <t>S</t>
  </si>
  <si>
    <t>bool</t>
  </si>
  <si>
    <t>读</t>
  </si>
  <si>
    <t>设备处于手动状态</t>
  </si>
  <si>
    <t>Auto</t>
  </si>
  <si>
    <t>设备处于自动状态</t>
  </si>
  <si>
    <t>Alarm</t>
  </si>
  <si>
    <t>设备有报错导致停止</t>
  </si>
  <si>
    <t>Auto_Start</t>
  </si>
  <si>
    <t>读/写</t>
  </si>
  <si>
    <t>启动，功能和启动按钮相同</t>
  </si>
  <si>
    <t>System_stop</t>
  </si>
  <si>
    <t>停止，功能和停止按钮相同</t>
  </si>
  <si>
    <t>System_Rest</t>
  </si>
  <si>
    <t>复位，功能和复位按钮相同</t>
  </si>
  <si>
    <t>手动控制</t>
  </si>
  <si>
    <t>Axis_Enbled</t>
  </si>
  <si>
    <t>轴处于启用状态</t>
  </si>
  <si>
    <t>Axis_Moving</t>
  </si>
  <si>
    <t>轴处于运动中</t>
  </si>
  <si>
    <t>Axis_positionMaxLimit</t>
  </si>
  <si>
    <t>轴由于处于或超过最大位置导致停机</t>
  </si>
  <si>
    <t>Axis_positionMinLimit</t>
  </si>
  <si>
    <t>轴由于处于或超过最小位置导致停机</t>
  </si>
  <si>
    <t>Axis_errorNumber</t>
  </si>
  <si>
    <t>D</t>
  </si>
  <si>
    <t>INT(short)</t>
  </si>
  <si>
    <t>轴报错代码</t>
  </si>
  <si>
    <t>Axis_speed</t>
  </si>
  <si>
    <t>Real(float)</t>
  </si>
  <si>
    <t>轴当前速度</t>
  </si>
  <si>
    <t>Axis_postion</t>
  </si>
  <si>
    <t>轴当前位置</t>
  </si>
  <si>
    <t>Axis_torque</t>
  </si>
  <si>
    <t>轴当前转矩</t>
  </si>
  <si>
    <t>Axis_jogForward</t>
  </si>
  <si>
    <t>BOOL</t>
  </si>
  <si>
    <t>点动正转</t>
  </si>
  <si>
    <t>Axis_jogBackward</t>
  </si>
  <si>
    <t>点动反转</t>
  </si>
  <si>
    <t>Axis_AbsStart</t>
  </si>
  <si>
    <t>轴绝对运行（以指定速度运行至指定位置）</t>
  </si>
  <si>
    <t>Axis_RelStart</t>
  </si>
  <si>
    <t>轴相对运行（以指定速度在当前位置进行运算移动，输入位置参数位正则加，输入位置参数为负则减）</t>
  </si>
  <si>
    <t>启用该轴</t>
  </si>
  <si>
    <t>Axis_Stop</t>
  </si>
  <si>
    <t>停止运行该轴</t>
  </si>
  <si>
    <t>Axis_SetSpeed</t>
  </si>
  <si>
    <t>设置轴的运行速度</t>
  </si>
  <si>
    <t>Axis_SetPostion</t>
  </si>
  <si>
    <t>设置轴的目标位置</t>
  </si>
  <si>
    <t>自动模式</t>
  </si>
  <si>
    <t>Set_AutoActionPostion</t>
  </si>
  <si>
    <t>设置间隔运行的角度（0-360），需要设定的*100=写入值，由于int值类型限制实际允许最大设置值为327.67°</t>
  </si>
  <si>
    <t>Set_AutoActionVelocity</t>
  </si>
  <si>
    <t>设置间隔运行的速度（0-30°/s）需要设定的*100=写入值</t>
  </si>
  <si>
    <t>Set_ModelNumber</t>
  </si>
  <si>
    <t>设置模式参数，0：间隔运行+延时；1：间隔延时+外部信号触发；2：自动运行+自动触发拍照</t>
  </si>
  <si>
    <t>Set_Model_0_DelayTimes</t>
  </si>
  <si>
    <t>设置模式0的延时时间，单位：s</t>
  </si>
  <si>
    <t>Set_Model_1_Action</t>
  </si>
  <si>
    <t>设置模式1的触发输入</t>
  </si>
  <si>
    <t>Set_AutoAction</t>
  </si>
  <si>
    <t>设置自动运行输入</t>
  </si>
  <si>
    <t>Set_Enble_SetValue</t>
  </si>
  <si>
    <t>确认值参数写入（写入间隔角度、运行速度、模式0的延时时间），同时写入三个参数</t>
  </si>
  <si>
    <t>Get_AutoActionPostion</t>
  </si>
  <si>
    <t>读取当前设置的间隔角度</t>
  </si>
  <si>
    <t>Get_AutoActionVelocity</t>
  </si>
  <si>
    <t>读取当前的运行速度</t>
  </si>
  <si>
    <t>Move_Done</t>
  </si>
  <si>
    <t>Bool</t>
  </si>
  <si>
    <t>分段内单次移动完成</t>
  </si>
  <si>
    <t>测试模式</t>
  </si>
  <si>
    <t>Radar_AlarmByPass</t>
  </si>
  <si>
    <t>屏蔽由雷达触发导致的报警</t>
  </si>
  <si>
    <t>Break_open</t>
  </si>
  <si>
    <t>强制解除转动机构的刹车</t>
  </si>
  <si>
    <r>
      <rPr>
        <sz val="11"/>
        <color theme="1"/>
        <rFont val="等线"/>
        <charset val="134"/>
        <scheme val="minor"/>
      </rPr>
      <t xml:space="preserve">注意事项：
1.系统状态中的三个状态为只读变量，不允许写入，仅作为状态展示。
2.手动控制中的变量仅在手动模式下生效（停止信号除外，停止信号全局生效），且在手动模式下运行需要满足相应条件：
  1）轴处于启用状态
  2）轴不处于正限位或负限位中
  3）速度值不为0
  4）运行方式不为零（相对运行和绝对运行只检测上升沿信号，点动正和点动反置1则连续运行，置0则停止）
  5）无停止信号
 手动运行流程：
  点动：启用轴（写入1）-&gt;&gt;写入运行速度-&gt;&gt;写入正转/反转（写入1）--&gt;&gt;轴运行--&gt;写入正转或反转指令（写为0）--&gt;&gt;轴停止运行--&gt;&gt;启用轴（写为0）--&gt;轴被禁用
  模式运行：
      绝对运行：启用轴（写入1）-&gt;&gt;写入运行速度-&gt;&gt;写入运行位置（写入50）--&gt;&gt;写入绝对运行（写入1）--&gt;&gt;写入绝对运行（写为0）--&gt;&gt;轴运行（运行至50°位置自动停止）--&gt;轴停止运行--&gt;&gt;启用轴（写为0）--&gt;轴被禁用
      绝对运行：启用轴（写入1）-&gt;&gt;写入运行速度-&gt;&gt;写入运行位置（写入50）--&gt;&gt;写入相对运行（写入1）--&gt;&gt;写入相对运行（写为0）--&gt;&gt;轴运行（运行至当前位置+50°后自动停止）--&gt;轴停止运行--&gt;&gt;启用轴（写为0）--&gt;轴被禁用 
在所有模式下运动均可被停止信号或启用轴信号打断。
</t>
    </r>
    <r>
      <rPr>
        <b/>
        <sz val="11"/>
        <color rgb="FFFF0000"/>
        <rFont val="等线"/>
        <charset val="134"/>
        <scheme val="minor"/>
      </rPr>
      <t>3.数据结构中，Real是采用IEE 754标准进行存储的，即高低字节数据互换，Real读取和写入时需要特别注意！！！(详见：https://zhuanlan.zhihu.com/p/685673574)</t>
    </r>
    <r>
      <rPr>
        <sz val="11"/>
        <color theme="1"/>
        <rFont val="等线"/>
        <charset val="134"/>
        <scheme val="minor"/>
      </rPr>
      <t xml:space="preserve">
4.各个数据类型的长度：
  bool ---&gt;1bit
  int----&gt;16bit---&gt;2byte---&gt;1word
  dint----&gt;32bit---&gt;4byte---&gt;2word
 real ----&gt;32bit----&gt;4byte---&gt;2word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</si>
</sst>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9" applyNumberFormat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76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54"/>
  <sheetViews>
    <sheetView tabSelected="1" workbookViewId="0">
      <selection activeCell="I22" sqref="I22"/>
    </sheetView>
  </sheetViews>
  <sheetFormatPr defaultColWidth="9" defaultRowHeight="14.25"/>
  <cols>
    <col min="1" max="2" width="9" style="1"/>
    <col min="3" max="3" width="23.125" style="1" customWidth="1"/>
    <col min="4" max="4" width="15.125" style="1" customWidth="1"/>
    <col min="5" max="5" width="10" style="1" customWidth="1"/>
    <col min="6" max="6" width="12.75" style="1" customWidth="1"/>
    <col min="7" max="8" width="9.625" style="1" customWidth="1"/>
    <col min="9" max="9" width="112.25" style="1" customWidth="1"/>
    <col min="11" max="11" width="13" customWidth="1"/>
    <col min="12" max="12" width="11.25" customWidth="1"/>
  </cols>
  <sheetData>
    <row r="2" spans="1:12">
      <c r="C2" s="1" t="s">
        <v>0</v>
      </c>
      <c r="D2" s="1" t="s">
        <v>1</v>
      </c>
    </row>
    <row r="3" spans="1:12">
      <c r="C3" s="1" t="s">
        <v>2</v>
      </c>
      <c r="D3" s="1" t="s">
        <v>3</v>
      </c>
    </row>
    <row r="4" spans="1:12">
      <c r="C4" s="1" t="s">
        <v>4</v>
      </c>
      <c r="D4" s="1" t="s">
        <v>5</v>
      </c>
    </row>
    <row r="6" spans="1:12">
      <c r="A6" s="2" t="s">
        <v>6</v>
      </c>
      <c r="B6" s="2"/>
      <c r="C6" s="2"/>
      <c r="D6" s="2"/>
      <c r="E6" s="2"/>
      <c r="F6" s="2"/>
      <c r="G6" s="2"/>
      <c r="H6" s="2"/>
      <c r="I6" s="2"/>
    </row>
    <row r="7" ht="30" customHeight="1" spans="1:12">
      <c r="A7" s="3" t="s">
        <v>7</v>
      </c>
      <c r="B7" s="4"/>
      <c r="C7" s="4"/>
      <c r="D7" s="4"/>
      <c r="E7" s="4"/>
      <c r="F7" s="4"/>
      <c r="G7" s="4"/>
      <c r="H7" s="4"/>
      <c r="I7" s="5"/>
    </row>
    <row r="8" spans="1:1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L8" s="1"/>
    </row>
    <row r="9" spans="1:12">
      <c r="A9" s="2">
        <f t="shared" ref="A9:A11" si="0">ROW(A1)</f>
        <v>1</v>
      </c>
      <c r="B9" s="2" t="s">
        <v>17</v>
      </c>
      <c r="C9" s="6" t="s">
        <v>18</v>
      </c>
      <c r="D9" s="2" t="s">
        <v>19</v>
      </c>
      <c r="E9" s="2">
        <v>10</v>
      </c>
      <c r="F9" s="2">
        <f>E9+57344</f>
        <v>57354</v>
      </c>
      <c r="G9" s="2" t="s">
        <v>20</v>
      </c>
      <c r="H9" s="2" t="s">
        <v>21</v>
      </c>
      <c r="I9" s="6" t="s">
        <v>22</v>
      </c>
    </row>
    <row r="10" spans="1:12">
      <c r="A10" s="2">
        <f t="shared" si="0"/>
        <v>2</v>
      </c>
      <c r="B10" s="2"/>
      <c r="C10" s="6" t="s">
        <v>23</v>
      </c>
      <c r="D10" s="2" t="s">
        <v>19</v>
      </c>
      <c r="E10" s="2">
        <v>11</v>
      </c>
      <c r="F10" s="2">
        <f t="shared" ref="F10:F18" si="1">E10+57344</f>
        <v>57355</v>
      </c>
      <c r="G10" s="2" t="s">
        <v>20</v>
      </c>
      <c r="H10" s="2" t="s">
        <v>21</v>
      </c>
      <c r="I10" s="6" t="s">
        <v>24</v>
      </c>
      <c r="L10" s="7"/>
    </row>
    <row r="11" spans="1:12">
      <c r="A11" s="2">
        <f t="shared" si="0"/>
        <v>3</v>
      </c>
      <c r="B11" s="2"/>
      <c r="C11" s="6" t="s">
        <v>25</v>
      </c>
      <c r="D11" s="2" t="s">
        <v>19</v>
      </c>
      <c r="E11" s="2">
        <v>12</v>
      </c>
      <c r="F11" s="2">
        <f t="shared" si="1"/>
        <v>57356</v>
      </c>
      <c r="G11" s="2" t="s">
        <v>20</v>
      </c>
      <c r="H11" s="2" t="s">
        <v>21</v>
      </c>
      <c r="I11" s="6" t="s">
        <v>26</v>
      </c>
      <c r="L11" s="7"/>
    </row>
    <row r="12" spans="1:12">
      <c r="A12" s="2"/>
      <c r="B12" s="2"/>
      <c r="C12" s="6" t="s">
        <v>27</v>
      </c>
      <c r="D12" s="2" t="s">
        <v>19</v>
      </c>
      <c r="E12" s="2">
        <v>150</v>
      </c>
      <c r="F12" s="2">
        <f t="shared" si="1"/>
        <v>57494</v>
      </c>
      <c r="G12" s="2" t="s">
        <v>20</v>
      </c>
      <c r="H12" s="2" t="s">
        <v>28</v>
      </c>
      <c r="I12" s="6" t="s">
        <v>29</v>
      </c>
      <c r="L12" s="7"/>
    </row>
    <row r="13" spans="1:12">
      <c r="A13" s="2"/>
      <c r="B13" s="2"/>
      <c r="C13" s="6" t="s">
        <v>30</v>
      </c>
      <c r="D13" s="2" t="s">
        <v>19</v>
      </c>
      <c r="E13" s="2">
        <v>151</v>
      </c>
      <c r="F13" s="2">
        <f t="shared" si="1"/>
        <v>57495</v>
      </c>
      <c r="G13" s="2" t="s">
        <v>20</v>
      </c>
      <c r="H13" s="2" t="s">
        <v>28</v>
      </c>
      <c r="I13" s="6" t="s">
        <v>31</v>
      </c>
      <c r="L13" s="7"/>
    </row>
    <row r="14" spans="1:12">
      <c r="A14" s="2"/>
      <c r="B14" s="2"/>
      <c r="C14" s="6" t="s">
        <v>32</v>
      </c>
      <c r="D14" s="2" t="s">
        <v>19</v>
      </c>
      <c r="E14" s="2">
        <v>152</v>
      </c>
      <c r="F14" s="2">
        <f t="shared" si="1"/>
        <v>57496</v>
      </c>
      <c r="G14" s="2" t="s">
        <v>20</v>
      </c>
      <c r="H14" s="2" t="s">
        <v>28</v>
      </c>
      <c r="I14" s="6" t="s">
        <v>33</v>
      </c>
      <c r="L14" s="7"/>
    </row>
    <row r="15" spans="1:12">
      <c r="A15" s="2">
        <f>ROW(A4)</f>
        <v>4</v>
      </c>
      <c r="B15" s="2" t="s">
        <v>34</v>
      </c>
      <c r="C15" s="6" t="s">
        <v>35</v>
      </c>
      <c r="D15" s="2" t="s">
        <v>19</v>
      </c>
      <c r="E15" s="2">
        <v>100</v>
      </c>
      <c r="F15" s="2">
        <f t="shared" si="1"/>
        <v>57444</v>
      </c>
      <c r="G15" s="2" t="s">
        <v>20</v>
      </c>
      <c r="H15" s="2" t="s">
        <v>21</v>
      </c>
      <c r="I15" s="6" t="s">
        <v>36</v>
      </c>
      <c r="L15" s="7"/>
    </row>
    <row r="16" spans="1:12">
      <c r="A16" s="2">
        <f>ROW(A5)</f>
        <v>5</v>
      </c>
      <c r="B16" s="2"/>
      <c r="C16" s="6" t="s">
        <v>37</v>
      </c>
      <c r="D16" s="2" t="s">
        <v>19</v>
      </c>
      <c r="E16" s="2">
        <v>104</v>
      </c>
      <c r="F16" s="2">
        <f t="shared" si="1"/>
        <v>57448</v>
      </c>
      <c r="G16" s="2" t="s">
        <v>20</v>
      </c>
      <c r="H16" s="2" t="s">
        <v>21</v>
      </c>
      <c r="I16" s="6" t="s">
        <v>38</v>
      </c>
    </row>
    <row r="17" spans="1:9">
      <c r="A17" s="2">
        <f>ROW(A6)</f>
        <v>6</v>
      </c>
      <c r="B17" s="2"/>
      <c r="C17" s="6" t="s">
        <v>39</v>
      </c>
      <c r="D17" s="2" t="s">
        <v>19</v>
      </c>
      <c r="E17" s="2">
        <v>106</v>
      </c>
      <c r="F17" s="2">
        <f t="shared" si="1"/>
        <v>57450</v>
      </c>
      <c r="G17" s="2" t="s">
        <v>20</v>
      </c>
      <c r="H17" s="2" t="s">
        <v>21</v>
      </c>
      <c r="I17" s="6" t="s">
        <v>40</v>
      </c>
    </row>
    <row r="18" spans="1:9">
      <c r="A18" s="2">
        <f>ROW(A8)</f>
        <v>8</v>
      </c>
      <c r="B18" s="2"/>
      <c r="C18" s="6" t="s">
        <v>41</v>
      </c>
      <c r="D18" s="2" t="s">
        <v>19</v>
      </c>
      <c r="E18" s="2">
        <v>107</v>
      </c>
      <c r="F18" s="2">
        <f t="shared" si="1"/>
        <v>57451</v>
      </c>
      <c r="G18" s="2" t="s">
        <v>20</v>
      </c>
      <c r="H18" s="2" t="s">
        <v>21</v>
      </c>
      <c r="I18" s="6" t="s">
        <v>42</v>
      </c>
    </row>
    <row r="19" spans="1:9">
      <c r="A19" s="2">
        <f>ROW(A9)</f>
        <v>9</v>
      </c>
      <c r="B19" s="2"/>
      <c r="C19" s="6" t="s">
        <v>43</v>
      </c>
      <c r="D19" s="2" t="s">
        <v>44</v>
      </c>
      <c r="E19" s="2">
        <v>100</v>
      </c>
      <c r="F19" s="2">
        <v>100</v>
      </c>
      <c r="G19" s="2" t="s">
        <v>45</v>
      </c>
      <c r="H19" s="2" t="s">
        <v>21</v>
      </c>
      <c r="I19" s="6" t="s">
        <v>46</v>
      </c>
    </row>
    <row r="20" spans="1:9">
      <c r="A20" s="2">
        <f>ROW(A10)</f>
        <v>10</v>
      </c>
      <c r="B20" s="2"/>
      <c r="C20" s="6" t="s">
        <v>47</v>
      </c>
      <c r="D20" s="2" t="s">
        <v>44</v>
      </c>
      <c r="E20" s="2">
        <v>103</v>
      </c>
      <c r="F20" s="2">
        <v>102</v>
      </c>
      <c r="G20" s="2" t="s">
        <v>48</v>
      </c>
      <c r="H20" s="2" t="s">
        <v>21</v>
      </c>
      <c r="I20" s="6" t="s">
        <v>49</v>
      </c>
    </row>
    <row r="21" spans="1:9">
      <c r="A21" s="2">
        <f>ROW(A11)</f>
        <v>11</v>
      </c>
      <c r="B21" s="2"/>
      <c r="C21" s="6" t="s">
        <v>50</v>
      </c>
      <c r="D21" s="2" t="s">
        <v>44</v>
      </c>
      <c r="E21" s="2">
        <v>106</v>
      </c>
      <c r="F21" s="2">
        <v>106</v>
      </c>
      <c r="G21" s="2" t="s">
        <v>48</v>
      </c>
      <c r="H21" s="2" t="s">
        <v>21</v>
      </c>
      <c r="I21" s="6" t="s">
        <v>51</v>
      </c>
    </row>
    <row r="22" spans="1:9">
      <c r="A22" s="2">
        <f t="shared" ref="A22:A35" si="2">ROW(A15)</f>
        <v>15</v>
      </c>
      <c r="B22" s="2"/>
      <c r="C22" s="6" t="s">
        <v>52</v>
      </c>
      <c r="D22" s="2" t="s">
        <v>44</v>
      </c>
      <c r="E22" s="2">
        <v>110</v>
      </c>
      <c r="F22" s="2">
        <v>110</v>
      </c>
      <c r="G22" s="2" t="s">
        <v>48</v>
      </c>
      <c r="H22" s="2" t="s">
        <v>21</v>
      </c>
      <c r="I22" s="6" t="s">
        <v>53</v>
      </c>
    </row>
    <row r="23" spans="1:9">
      <c r="A23" s="2">
        <f t="shared" si="2"/>
        <v>16</v>
      </c>
      <c r="B23" s="2"/>
      <c r="C23" s="6" t="s">
        <v>54</v>
      </c>
      <c r="D23" s="2" t="s">
        <v>19</v>
      </c>
      <c r="E23" s="2">
        <v>110</v>
      </c>
      <c r="F23" s="2">
        <f>E23+57344</f>
        <v>57454</v>
      </c>
      <c r="G23" s="2" t="s">
        <v>55</v>
      </c>
      <c r="H23" s="2" t="s">
        <v>28</v>
      </c>
      <c r="I23" s="6" t="s">
        <v>56</v>
      </c>
    </row>
    <row r="24" spans="1:9">
      <c r="A24" s="2">
        <f t="shared" si="2"/>
        <v>17</v>
      </c>
      <c r="B24" s="2"/>
      <c r="C24" s="6" t="s">
        <v>57</v>
      </c>
      <c r="D24" s="2" t="s">
        <v>19</v>
      </c>
      <c r="E24" s="2">
        <v>111</v>
      </c>
      <c r="F24" s="2">
        <f t="shared" ref="F24:F28" si="3">E24+57344</f>
        <v>57455</v>
      </c>
      <c r="G24" s="2" t="s">
        <v>55</v>
      </c>
      <c r="H24" s="2" t="s">
        <v>28</v>
      </c>
      <c r="I24" s="6" t="s">
        <v>58</v>
      </c>
    </row>
    <row r="25" spans="1:9">
      <c r="A25" s="2">
        <f t="shared" si="2"/>
        <v>18</v>
      </c>
      <c r="B25" s="2"/>
      <c r="C25" s="6" t="s">
        <v>59</v>
      </c>
      <c r="D25" s="2" t="s">
        <v>19</v>
      </c>
      <c r="E25" s="2">
        <v>112</v>
      </c>
      <c r="F25" s="2">
        <f t="shared" si="3"/>
        <v>57456</v>
      </c>
      <c r="G25" s="2" t="s">
        <v>55</v>
      </c>
      <c r="H25" s="2" t="s">
        <v>28</v>
      </c>
      <c r="I25" s="6" t="s">
        <v>60</v>
      </c>
    </row>
    <row r="26" spans="1:9">
      <c r="A26" s="2">
        <f t="shared" si="2"/>
        <v>19</v>
      </c>
      <c r="B26" s="2"/>
      <c r="C26" s="6" t="s">
        <v>61</v>
      </c>
      <c r="D26" s="2" t="s">
        <v>19</v>
      </c>
      <c r="E26" s="2">
        <v>113</v>
      </c>
      <c r="F26" s="2">
        <f t="shared" si="3"/>
        <v>57457</v>
      </c>
      <c r="G26" s="2" t="s">
        <v>55</v>
      </c>
      <c r="H26" s="2" t="s">
        <v>28</v>
      </c>
      <c r="I26" s="6" t="s">
        <v>62</v>
      </c>
    </row>
    <row r="27" spans="1:9">
      <c r="A27" s="2">
        <f t="shared" si="2"/>
        <v>20</v>
      </c>
      <c r="B27" s="2"/>
      <c r="C27" s="6" t="s">
        <v>35</v>
      </c>
      <c r="D27" s="2" t="s">
        <v>19</v>
      </c>
      <c r="E27" s="2">
        <v>115</v>
      </c>
      <c r="F27" s="2">
        <f t="shared" si="3"/>
        <v>57459</v>
      </c>
      <c r="G27" s="2" t="s">
        <v>55</v>
      </c>
      <c r="H27" s="2" t="s">
        <v>28</v>
      </c>
      <c r="I27" s="6" t="s">
        <v>63</v>
      </c>
    </row>
    <row r="28" spans="1:9">
      <c r="A28" s="2">
        <f t="shared" si="2"/>
        <v>21</v>
      </c>
      <c r="B28" s="2"/>
      <c r="C28" s="6" t="s">
        <v>64</v>
      </c>
      <c r="D28" s="2" t="s">
        <v>19</v>
      </c>
      <c r="E28" s="2">
        <v>114</v>
      </c>
      <c r="F28" s="2">
        <f t="shared" si="3"/>
        <v>57458</v>
      </c>
      <c r="G28" s="2" t="s">
        <v>55</v>
      </c>
      <c r="H28" s="2" t="s">
        <v>28</v>
      </c>
      <c r="I28" s="6" t="s">
        <v>65</v>
      </c>
    </row>
    <row r="29" spans="1:9">
      <c r="A29" s="2">
        <f t="shared" si="2"/>
        <v>22</v>
      </c>
      <c r="B29" s="2"/>
      <c r="C29" s="6" t="s">
        <v>66</v>
      </c>
      <c r="D29" s="2" t="s">
        <v>44</v>
      </c>
      <c r="E29" s="2">
        <v>118</v>
      </c>
      <c r="F29" s="2">
        <v>118</v>
      </c>
      <c r="G29" s="2" t="s">
        <v>48</v>
      </c>
      <c r="H29" s="2" t="s">
        <v>28</v>
      </c>
      <c r="I29" s="6" t="s">
        <v>67</v>
      </c>
    </row>
    <row r="30" spans="1:9">
      <c r="A30" s="2">
        <f t="shared" si="2"/>
        <v>23</v>
      </c>
      <c r="B30" s="2"/>
      <c r="C30" s="6" t="s">
        <v>68</v>
      </c>
      <c r="D30" s="2" t="s">
        <v>44</v>
      </c>
      <c r="E30" s="2">
        <v>114</v>
      </c>
      <c r="F30" s="2">
        <v>114</v>
      </c>
      <c r="G30" s="2" t="s">
        <v>48</v>
      </c>
      <c r="H30" s="2" t="s">
        <v>28</v>
      </c>
      <c r="I30" s="6" t="s">
        <v>69</v>
      </c>
    </row>
    <row r="31" spans="1:9">
      <c r="A31" s="2">
        <f t="shared" si="2"/>
        <v>24</v>
      </c>
      <c r="B31" s="8" t="s">
        <v>70</v>
      </c>
      <c r="C31" s="6" t="s">
        <v>71</v>
      </c>
      <c r="D31" s="2" t="s">
        <v>44</v>
      </c>
      <c r="E31" s="2">
        <v>300</v>
      </c>
      <c r="F31" s="2">
        <v>300</v>
      </c>
      <c r="G31" s="2" t="s">
        <v>45</v>
      </c>
      <c r="H31" s="2" t="s">
        <v>28</v>
      </c>
      <c r="I31" s="6" t="s">
        <v>72</v>
      </c>
    </row>
    <row r="32" spans="1:9">
      <c r="A32" s="2">
        <f t="shared" si="2"/>
        <v>25</v>
      </c>
      <c r="B32" s="9"/>
      <c r="C32" s="6" t="s">
        <v>73</v>
      </c>
      <c r="D32" s="2" t="s">
        <v>44</v>
      </c>
      <c r="E32" s="2">
        <v>304</v>
      </c>
      <c r="F32" s="2">
        <v>304</v>
      </c>
      <c r="G32" s="2" t="s">
        <v>45</v>
      </c>
      <c r="H32" s="2" t="s">
        <v>28</v>
      </c>
      <c r="I32" s="6" t="s">
        <v>74</v>
      </c>
    </row>
    <row r="33" spans="1:9">
      <c r="A33" s="2">
        <f t="shared" si="2"/>
        <v>26</v>
      </c>
      <c r="B33" s="9"/>
      <c r="C33" s="6" t="s">
        <v>75</v>
      </c>
      <c r="D33" s="2" t="s">
        <v>44</v>
      </c>
      <c r="E33" s="2">
        <v>320</v>
      </c>
      <c r="F33" s="2">
        <v>320</v>
      </c>
      <c r="G33" s="2" t="s">
        <v>45</v>
      </c>
      <c r="H33" s="2" t="s">
        <v>28</v>
      </c>
      <c r="I33" s="6" t="s">
        <v>76</v>
      </c>
    </row>
    <row r="34" spans="1:9">
      <c r="A34" s="2">
        <f t="shared" si="2"/>
        <v>27</v>
      </c>
      <c r="B34" s="9"/>
      <c r="C34" s="6" t="s">
        <v>77</v>
      </c>
      <c r="D34" s="2" t="s">
        <v>44</v>
      </c>
      <c r="E34" s="2">
        <v>316</v>
      </c>
      <c r="F34" s="2">
        <v>316</v>
      </c>
      <c r="G34" s="2" t="s">
        <v>45</v>
      </c>
      <c r="H34" s="2" t="s">
        <v>28</v>
      </c>
      <c r="I34" s="6" t="s">
        <v>78</v>
      </c>
    </row>
    <row r="35" spans="1:9">
      <c r="A35" s="2">
        <f t="shared" si="2"/>
        <v>28</v>
      </c>
      <c r="B35" s="9"/>
      <c r="C35" s="6" t="s">
        <v>79</v>
      </c>
      <c r="D35" s="2" t="s">
        <v>19</v>
      </c>
      <c r="E35" s="2">
        <v>402</v>
      </c>
      <c r="F35" s="2">
        <f>E35+57344</f>
        <v>57746</v>
      </c>
      <c r="G35" s="2" t="s">
        <v>55</v>
      </c>
      <c r="H35" s="2" t="s">
        <v>28</v>
      </c>
      <c r="I35" s="6" t="s">
        <v>80</v>
      </c>
    </row>
    <row r="36" spans="1:9">
      <c r="A36" s="2">
        <f t="shared" ref="A36:A39" si="4">ROW(A29)</f>
        <v>29</v>
      </c>
      <c r="B36" s="9"/>
      <c r="C36" s="6" t="s">
        <v>81</v>
      </c>
      <c r="D36" s="2" t="s">
        <v>19</v>
      </c>
      <c r="E36" s="2">
        <v>401</v>
      </c>
      <c r="F36" s="2">
        <f t="shared" ref="F36:F37" si="5">E36+57344</f>
        <v>57745</v>
      </c>
      <c r="G36" s="2" t="s">
        <v>55</v>
      </c>
      <c r="H36" s="2" t="s">
        <v>28</v>
      </c>
      <c r="I36" s="6" t="s">
        <v>82</v>
      </c>
    </row>
    <row r="37" spans="1:9">
      <c r="A37" s="2">
        <f t="shared" si="4"/>
        <v>30</v>
      </c>
      <c r="B37" s="9"/>
      <c r="C37" s="6" t="s">
        <v>83</v>
      </c>
      <c r="D37" s="2" t="s">
        <v>19</v>
      </c>
      <c r="E37" s="2">
        <v>400</v>
      </c>
      <c r="F37" s="2">
        <f t="shared" si="5"/>
        <v>57744</v>
      </c>
      <c r="G37" s="2" t="s">
        <v>55</v>
      </c>
      <c r="H37" s="2" t="s">
        <v>28</v>
      </c>
      <c r="I37" s="6" t="s">
        <v>84</v>
      </c>
    </row>
    <row r="38" spans="1:9">
      <c r="A38" s="2">
        <f t="shared" si="4"/>
        <v>31</v>
      </c>
      <c r="B38" s="9"/>
      <c r="C38" s="6" t="s">
        <v>85</v>
      </c>
      <c r="D38" s="2" t="s">
        <v>44</v>
      </c>
      <c r="E38" s="2">
        <v>308</v>
      </c>
      <c r="F38" s="2">
        <v>308</v>
      </c>
      <c r="G38" s="2" t="s">
        <v>45</v>
      </c>
      <c r="H38" s="2" t="s">
        <v>21</v>
      </c>
      <c r="I38" s="6" t="s">
        <v>86</v>
      </c>
    </row>
    <row r="39" spans="1:9">
      <c r="A39" s="2">
        <f t="shared" si="4"/>
        <v>32</v>
      </c>
      <c r="B39" s="9"/>
      <c r="C39" s="6" t="s">
        <v>87</v>
      </c>
      <c r="D39" s="2" t="s">
        <v>44</v>
      </c>
      <c r="E39" s="2">
        <v>312</v>
      </c>
      <c r="F39" s="2">
        <v>312</v>
      </c>
      <c r="G39" s="2" t="s">
        <v>45</v>
      </c>
      <c r="H39" s="2" t="s">
        <v>21</v>
      </c>
      <c r="I39" s="6" t="s">
        <v>88</v>
      </c>
    </row>
    <row r="40" spans="1:9">
      <c r="A40" s="2"/>
      <c r="B40" s="10"/>
      <c r="C40" s="6" t="s">
        <v>89</v>
      </c>
      <c r="D40" s="2" t="s">
        <v>19</v>
      </c>
      <c r="E40" s="2">
        <v>403</v>
      </c>
      <c r="F40" s="2">
        <f>E40+57344</f>
        <v>57747</v>
      </c>
      <c r="G40" s="2" t="s">
        <v>90</v>
      </c>
      <c r="H40" s="2" t="s">
        <v>21</v>
      </c>
      <c r="I40" s="6" t="s">
        <v>91</v>
      </c>
    </row>
    <row r="41" spans="1:9">
      <c r="A41" s="2">
        <f>ROW(A33)</f>
        <v>33</v>
      </c>
      <c r="B41" s="8" t="s">
        <v>92</v>
      </c>
      <c r="C41" s="6" t="s">
        <v>93</v>
      </c>
      <c r="D41" s="2" t="s">
        <v>19</v>
      </c>
      <c r="E41" s="2">
        <v>305</v>
      </c>
      <c r="F41" s="2">
        <f>E41+57344</f>
        <v>57649</v>
      </c>
      <c r="G41" s="2" t="s">
        <v>55</v>
      </c>
      <c r="H41" s="2" t="s">
        <v>28</v>
      </c>
      <c r="I41" s="6" t="s">
        <v>94</v>
      </c>
    </row>
    <row r="42" spans="1:9">
      <c r="A42" s="2">
        <f>ROW(A34)</f>
        <v>34</v>
      </c>
      <c r="B42" s="10"/>
      <c r="C42" s="6" t="s">
        <v>95</v>
      </c>
      <c r="D42" s="2" t="s">
        <v>19</v>
      </c>
      <c r="E42" s="2">
        <v>300</v>
      </c>
      <c r="F42" s="2">
        <f>E42+57344</f>
        <v>57644</v>
      </c>
      <c r="G42" s="2" t="s">
        <v>55</v>
      </c>
      <c r="H42" s="2" t="s">
        <v>28</v>
      </c>
      <c r="I42" s="6" t="s">
        <v>96</v>
      </c>
    </row>
    <row r="43" customHeight="1" spans="1:9">
      <c r="A43" s="11" t="s">
        <v>97</v>
      </c>
      <c r="B43" s="12"/>
      <c r="C43" s="12"/>
      <c r="D43" s="12"/>
      <c r="E43" s="12"/>
      <c r="F43" s="12"/>
      <c r="G43" s="12"/>
      <c r="H43" s="12"/>
      <c r="I43" s="13"/>
    </row>
    <row r="44" spans="1:9">
      <c r="A44" s="14"/>
      <c r="B44" s="15"/>
      <c r="C44" s="15"/>
      <c r="D44" s="15"/>
      <c r="E44" s="15"/>
      <c r="F44" s="15"/>
      <c r="G44" s="15"/>
      <c r="H44" s="15"/>
      <c r="I44" s="16"/>
    </row>
    <row r="45" spans="1:9">
      <c r="A45" s="14"/>
      <c r="B45" s="15"/>
      <c r="C45" s="15"/>
      <c r="D45" s="15"/>
      <c r="E45" s="15"/>
      <c r="F45" s="15"/>
      <c r="G45" s="15"/>
      <c r="H45" s="15"/>
      <c r="I45" s="16"/>
    </row>
    <row r="46" spans="1:9">
      <c r="A46" s="14"/>
      <c r="B46" s="15"/>
      <c r="C46" s="15"/>
      <c r="D46" s="15"/>
      <c r="E46" s="15"/>
      <c r="F46" s="15"/>
      <c r="G46" s="15"/>
      <c r="H46" s="15"/>
      <c r="I46" s="16"/>
    </row>
    <row r="47" spans="1:9">
      <c r="A47" s="14"/>
      <c r="B47" s="15"/>
      <c r="C47" s="15"/>
      <c r="D47" s="15"/>
      <c r="E47" s="15"/>
      <c r="F47" s="15"/>
      <c r="G47" s="15"/>
      <c r="H47" s="15"/>
      <c r="I47" s="16"/>
    </row>
    <row r="48" spans="1:9">
      <c r="A48" s="14"/>
      <c r="B48" s="15"/>
      <c r="C48" s="15"/>
      <c r="D48" s="15"/>
      <c r="E48" s="15"/>
      <c r="F48" s="15"/>
      <c r="G48" s="15"/>
      <c r="H48" s="15"/>
      <c r="I48" s="16"/>
    </row>
    <row r="49" spans="1:9">
      <c r="A49" s="14"/>
      <c r="B49" s="15"/>
      <c r="C49" s="15"/>
      <c r="D49" s="15"/>
      <c r="E49" s="15"/>
      <c r="F49" s="15"/>
      <c r="G49" s="15"/>
      <c r="H49" s="15"/>
      <c r="I49" s="16"/>
    </row>
    <row r="50" spans="1:9">
      <c r="A50" s="14"/>
      <c r="B50" s="15"/>
      <c r="C50" s="15"/>
      <c r="D50" s="15"/>
      <c r="E50" s="15"/>
      <c r="F50" s="15"/>
      <c r="G50" s="15"/>
      <c r="H50" s="15"/>
      <c r="I50" s="16"/>
    </row>
    <row r="51" spans="1:9">
      <c r="A51" s="14"/>
      <c r="B51" s="15"/>
      <c r="C51" s="15"/>
      <c r="D51" s="15"/>
      <c r="E51" s="15"/>
      <c r="F51" s="15"/>
      <c r="G51" s="15"/>
      <c r="H51" s="15"/>
      <c r="I51" s="16"/>
    </row>
    <row r="52" spans="1:9">
      <c r="A52" s="14"/>
      <c r="B52" s="15"/>
      <c r="C52" s="15"/>
      <c r="D52" s="15"/>
      <c r="E52" s="15"/>
      <c r="F52" s="15"/>
      <c r="G52" s="15"/>
      <c r="H52" s="15"/>
      <c r="I52" s="16"/>
    </row>
    <row r="53" ht="162" customHeight="1" spans="1:9">
      <c r="A53" s="17"/>
      <c r="B53" s="18"/>
      <c r="C53" s="18"/>
      <c r="D53" s="18"/>
      <c r="E53" s="18"/>
      <c r="F53" s="18"/>
      <c r="G53" s="18"/>
      <c r="H53" s="18"/>
      <c r="I53" s="19"/>
    </row>
    <row r="54" spans="1:9">
      <c r="I54" s="20"/>
    </row>
  </sheetData>
  <mergeCells count="7">
    <mergeCell ref="A6:I6"/>
    <mergeCell ref="A7:I7"/>
    <mergeCell ref="B9:B11"/>
    <mergeCell ref="B15:B30"/>
    <mergeCell ref="B31:B40"/>
    <mergeCell ref="B41:B42"/>
    <mergeCell ref="A43:I5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姚巍</dc:creator>
  <cp:lastModifiedBy>许褚</cp:lastModifiedBy>
  <dcterms:created xsi:type="dcterms:W3CDTF">2015-06-05T18:19:00Z</dcterms:created>
  <dcterms:modified xsi:type="dcterms:W3CDTF">2026-03-02T09:21:27Z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386613B00A264CEF80BD80838C50481B_13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